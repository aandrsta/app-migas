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KTokAYz/D3uEAdw8x1argJ0VKoqyIU3KuWtVNLWvWM="/>
    </ext>
  </extLst>
</workbook>
</file>

<file path=xl/sharedStrings.xml><?xml version="1.0" encoding="utf-8"?>
<sst xmlns="http://schemas.openxmlformats.org/spreadsheetml/2006/main" count="22" uniqueCount="15">
  <si>
    <t>Tahun</t>
  </si>
  <si>
    <t>Produksi</t>
  </si>
  <si>
    <t>Income</t>
  </si>
  <si>
    <t>Investasi</t>
  </si>
  <si>
    <t>Opex</t>
  </si>
  <si>
    <t>Di</t>
  </si>
  <si>
    <t>Taxable Income</t>
  </si>
  <si>
    <r>
      <rPr>
        <rFont val="Calibri"/>
        <i/>
        <color rgb="FF000000"/>
        <sz val="10.0"/>
      </rPr>
      <t>Tax</t>
    </r>
    <r>
      <rPr>
        <rFont val="Calibri"/>
        <i val="0"/>
        <color rgb="FF000000"/>
        <sz val="10.0"/>
      </rPr>
      <t xml:space="preserve"> </t>
    </r>
  </si>
  <si>
    <t>NCF Undiscounted</t>
  </si>
  <si>
    <t>Capital</t>
  </si>
  <si>
    <t>Non Capital</t>
  </si>
  <si>
    <t>(Mbbl)</t>
  </si>
  <si>
    <t>($M)</t>
  </si>
  <si>
    <t>Di=K/N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</si>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</sst>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0.0"/>
      <color rgb="FF000000"/>
      <name val="Calibri"/>
    </font>
    <font>
      <i/>
      <sz val="10.0"/>
      <color rgb="FF000000"/>
      <name val="Calibri"/>
    </font>
    <font/>
    <font>
      <sz val="11.0"/>
      <color theme="1"/>
      <name val="Calibri"/>
    </font>
    <font>
      <sz val="10.0"/>
      <color rgb="FF000000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3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2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4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0" fillId="0" fontId="6" numFmtId="0" xfId="0" applyFont="1"/>
    <xf borderId="2" fillId="0" fontId="1" numFmtId="0" xfId="0" applyAlignment="1" applyBorder="1" applyFont="1">
      <alignment horizontal="right" vertical="center"/>
    </xf>
    <xf borderId="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1.43"/>
    <col customWidth="1" min="4" max="26" width="8.71"/>
  </cols>
  <sheetData>
    <row r="1" ht="26.25" customHeight="1">
      <c r="A1" s="1" t="s">
        <v>0</v>
      </c>
      <c r="B1" s="1" t="s">
        <v>1</v>
      </c>
      <c r="C1" s="2" t="s">
        <v>2</v>
      </c>
      <c r="D1" s="3" t="s">
        <v>3</v>
      </c>
      <c r="E1" s="4"/>
      <c r="F1" s="2" t="s">
        <v>4</v>
      </c>
      <c r="G1" s="2" t="s">
        <v>5</v>
      </c>
      <c r="H1" s="5" t="s">
        <v>6</v>
      </c>
      <c r="I1" s="2" t="s">
        <v>7</v>
      </c>
      <c r="J1" s="5" t="s">
        <v>8</v>
      </c>
    </row>
    <row r="2" ht="14.25" customHeight="1">
      <c r="A2" s="6"/>
      <c r="B2" s="6"/>
      <c r="C2" s="6"/>
      <c r="D2" s="7" t="s">
        <v>9</v>
      </c>
      <c r="E2" s="7" t="s">
        <v>10</v>
      </c>
      <c r="F2" s="6"/>
      <c r="G2" s="6"/>
      <c r="H2" s="6"/>
      <c r="I2" s="6"/>
      <c r="J2" s="6"/>
    </row>
    <row r="3" ht="14.25" customHeight="1">
      <c r="A3" s="8"/>
      <c r="B3" s="9" t="s">
        <v>11</v>
      </c>
      <c r="C3" s="9" t="s">
        <v>12</v>
      </c>
      <c r="D3" s="9" t="s">
        <v>12</v>
      </c>
      <c r="E3" s="9" t="s">
        <v>12</v>
      </c>
      <c r="F3" s="9" t="s">
        <v>12</v>
      </c>
      <c r="G3" s="9" t="s">
        <v>12</v>
      </c>
      <c r="H3" s="9" t="s">
        <v>12</v>
      </c>
      <c r="I3" s="9" t="s">
        <v>12</v>
      </c>
      <c r="J3" s="9" t="s">
        <v>12</v>
      </c>
    </row>
    <row r="4" ht="14.25" customHeight="1">
      <c r="A4" s="8">
        <v>0.0</v>
      </c>
      <c r="B4" s="10"/>
      <c r="C4" s="10"/>
      <c r="D4" s="9">
        <v>13000.0</v>
      </c>
      <c r="E4" s="9">
        <v>8000.0</v>
      </c>
      <c r="F4" s="10"/>
      <c r="G4" s="10"/>
      <c r="H4" s="10"/>
      <c r="I4" s="10"/>
      <c r="J4" s="9">
        <v>-21000.0</v>
      </c>
    </row>
    <row r="5" ht="14.25" customHeight="1">
      <c r="A5" s="11">
        <v>1.0</v>
      </c>
      <c r="B5" s="9">
        <v>175.0</v>
      </c>
      <c r="C5" s="9">
        <v>5600.0</v>
      </c>
      <c r="D5" s="9">
        <v>0.0</v>
      </c>
      <c r="E5" s="9">
        <v>0.0</v>
      </c>
      <c r="F5" s="10">
        <v>180.0</v>
      </c>
      <c r="G5" s="10">
        <f t="shared" ref="G5:G24" si="1">21000/20</f>
        <v>1050</v>
      </c>
      <c r="H5" s="10">
        <f t="shared" ref="H5:H24" si="2">C5-F5-G5</f>
        <v>4370</v>
      </c>
      <c r="I5" s="10">
        <f t="shared" ref="I5:I24" si="3">0.51*H5</f>
        <v>2228.7</v>
      </c>
      <c r="J5" s="10">
        <f t="shared" ref="J5:J24" si="4">H5-I5</f>
        <v>2141.3</v>
      </c>
      <c r="M5" s="12" t="s">
        <v>13</v>
      </c>
      <c r="N5" s="12">
        <f>21000/20</f>
        <v>1050</v>
      </c>
    </row>
    <row r="6" ht="14.25" customHeight="1">
      <c r="A6" s="11">
        <v>2.0</v>
      </c>
      <c r="B6" s="9">
        <v>201.0</v>
      </c>
      <c r="C6" s="9">
        <f t="shared" ref="C6:C24" si="5">32*B6</f>
        <v>6432</v>
      </c>
      <c r="D6" s="9">
        <v>0.0</v>
      </c>
      <c r="E6" s="9">
        <v>0.0</v>
      </c>
      <c r="F6" s="10">
        <v>180.0</v>
      </c>
      <c r="G6" s="10">
        <f t="shared" si="1"/>
        <v>1050</v>
      </c>
      <c r="H6" s="10">
        <f t="shared" si="2"/>
        <v>5202</v>
      </c>
      <c r="I6" s="10">
        <f t="shared" si="3"/>
        <v>2653.02</v>
      </c>
      <c r="J6" s="10">
        <f t="shared" si="4"/>
        <v>2548.98</v>
      </c>
    </row>
    <row r="7" ht="14.25" customHeight="1">
      <c r="A7" s="11">
        <v>3.0</v>
      </c>
      <c r="B7" s="9">
        <v>217.0</v>
      </c>
      <c r="C7" s="9">
        <f t="shared" si="5"/>
        <v>6944</v>
      </c>
      <c r="D7" s="9">
        <v>0.0</v>
      </c>
      <c r="E7" s="9">
        <v>0.0</v>
      </c>
      <c r="F7" s="10">
        <v>180.0</v>
      </c>
      <c r="G7" s="10">
        <f t="shared" si="1"/>
        <v>1050</v>
      </c>
      <c r="H7" s="10">
        <f t="shared" si="2"/>
        <v>5714</v>
      </c>
      <c r="I7" s="10">
        <f t="shared" si="3"/>
        <v>2914.14</v>
      </c>
      <c r="J7" s="10">
        <f t="shared" si="4"/>
        <v>2799.86</v>
      </c>
    </row>
    <row r="8" ht="14.25" customHeight="1">
      <c r="A8" s="11">
        <v>4.0</v>
      </c>
      <c r="B8" s="9">
        <v>198.0</v>
      </c>
      <c r="C8" s="9">
        <f t="shared" si="5"/>
        <v>6336</v>
      </c>
      <c r="D8" s="9">
        <v>0.0</v>
      </c>
      <c r="E8" s="9">
        <v>0.0</v>
      </c>
      <c r="F8" s="10">
        <v>180.0</v>
      </c>
      <c r="G8" s="10">
        <f t="shared" si="1"/>
        <v>1050</v>
      </c>
      <c r="H8" s="10">
        <f t="shared" si="2"/>
        <v>5106</v>
      </c>
      <c r="I8" s="10">
        <f t="shared" si="3"/>
        <v>2604.06</v>
      </c>
      <c r="J8" s="10">
        <f t="shared" si="4"/>
        <v>2501.94</v>
      </c>
    </row>
    <row r="9" ht="14.25" customHeight="1">
      <c r="A9" s="11">
        <v>5.0</v>
      </c>
      <c r="B9" s="9">
        <v>192.06</v>
      </c>
      <c r="C9" s="9">
        <f t="shared" si="5"/>
        <v>6145.92</v>
      </c>
      <c r="D9" s="9">
        <v>0.0</v>
      </c>
      <c r="E9" s="9">
        <v>0.0</v>
      </c>
      <c r="F9" s="10">
        <v>180.0</v>
      </c>
      <c r="G9" s="10">
        <f t="shared" si="1"/>
        <v>1050</v>
      </c>
      <c r="H9" s="10">
        <f t="shared" si="2"/>
        <v>4915.92</v>
      </c>
      <c r="I9" s="10">
        <f t="shared" si="3"/>
        <v>2507.1192</v>
      </c>
      <c r="J9" s="10">
        <f t="shared" si="4"/>
        <v>2408.8008</v>
      </c>
    </row>
    <row r="10" ht="14.25" customHeight="1">
      <c r="A10" s="11">
        <v>6.0</v>
      </c>
      <c r="B10" s="9">
        <v>186.29</v>
      </c>
      <c r="C10" s="9">
        <f t="shared" si="5"/>
        <v>5961.28</v>
      </c>
      <c r="D10" s="9">
        <v>0.0</v>
      </c>
      <c r="E10" s="9">
        <v>0.0</v>
      </c>
      <c r="F10" s="10">
        <v>180.0</v>
      </c>
      <c r="G10" s="10">
        <f t="shared" si="1"/>
        <v>1050</v>
      </c>
      <c r="H10" s="10">
        <f t="shared" si="2"/>
        <v>4731.28</v>
      </c>
      <c r="I10" s="10">
        <f t="shared" si="3"/>
        <v>2412.9528</v>
      </c>
      <c r="J10" s="10">
        <f t="shared" si="4"/>
        <v>2318.3272</v>
      </c>
    </row>
    <row r="11" ht="14.25" customHeight="1">
      <c r="A11" s="11">
        <v>7.0</v>
      </c>
      <c r="B11" s="9">
        <f t="shared" ref="B11:B24" si="6">0.97*B10</f>
        <v>180.7013</v>
      </c>
      <c r="C11" s="9">
        <f t="shared" si="5"/>
        <v>5782.4416</v>
      </c>
      <c r="D11" s="9">
        <v>0.0</v>
      </c>
      <c r="E11" s="9">
        <v>0.0</v>
      </c>
      <c r="F11" s="10">
        <v>180.0</v>
      </c>
      <c r="G11" s="10">
        <f t="shared" si="1"/>
        <v>1050</v>
      </c>
      <c r="H11" s="10">
        <f t="shared" si="2"/>
        <v>4552.4416</v>
      </c>
      <c r="I11" s="10">
        <f t="shared" si="3"/>
        <v>2321.745216</v>
      </c>
      <c r="J11" s="10">
        <f t="shared" si="4"/>
        <v>2230.696384</v>
      </c>
    </row>
    <row r="12" ht="14.25" customHeight="1">
      <c r="A12" s="11">
        <v>8.0</v>
      </c>
      <c r="B12" s="9">
        <f t="shared" si="6"/>
        <v>175.280261</v>
      </c>
      <c r="C12" s="9">
        <f t="shared" si="5"/>
        <v>5608.968352</v>
      </c>
      <c r="D12" s="9">
        <v>0.0</v>
      </c>
      <c r="E12" s="9">
        <v>0.0</v>
      </c>
      <c r="F12" s="10">
        <v>180.0</v>
      </c>
      <c r="G12" s="10">
        <f t="shared" si="1"/>
        <v>1050</v>
      </c>
      <c r="H12" s="10">
        <f t="shared" si="2"/>
        <v>4378.968352</v>
      </c>
      <c r="I12" s="10">
        <f t="shared" si="3"/>
        <v>2233.27386</v>
      </c>
      <c r="J12" s="10">
        <f t="shared" si="4"/>
        <v>2145.694492</v>
      </c>
    </row>
    <row r="13" ht="14.25" customHeight="1">
      <c r="A13" s="11">
        <v>9.0</v>
      </c>
      <c r="B13" s="9">
        <f t="shared" si="6"/>
        <v>170.0218532</v>
      </c>
      <c r="C13" s="9">
        <f t="shared" si="5"/>
        <v>5440.699301</v>
      </c>
      <c r="D13" s="9">
        <v>0.0</v>
      </c>
      <c r="E13" s="9">
        <v>0.0</v>
      </c>
      <c r="F13" s="10">
        <v>180.0</v>
      </c>
      <c r="G13" s="10">
        <f t="shared" si="1"/>
        <v>1050</v>
      </c>
      <c r="H13" s="10">
        <f t="shared" si="2"/>
        <v>4210.699301</v>
      </c>
      <c r="I13" s="10">
        <f t="shared" si="3"/>
        <v>2147.456644</v>
      </c>
      <c r="J13" s="10">
        <f t="shared" si="4"/>
        <v>2063.242658</v>
      </c>
    </row>
    <row r="14" ht="14.25" customHeight="1">
      <c r="A14" s="11">
        <v>10.0</v>
      </c>
      <c r="B14" s="9">
        <f t="shared" si="6"/>
        <v>164.9211976</v>
      </c>
      <c r="C14" s="9">
        <f t="shared" si="5"/>
        <v>5277.478322</v>
      </c>
      <c r="D14" s="9">
        <v>0.0</v>
      </c>
      <c r="E14" s="9">
        <v>0.0</v>
      </c>
      <c r="F14" s="10">
        <v>180.0</v>
      </c>
      <c r="G14" s="10">
        <f t="shared" si="1"/>
        <v>1050</v>
      </c>
      <c r="H14" s="10">
        <f t="shared" si="2"/>
        <v>4047.478322</v>
      </c>
      <c r="I14" s="10">
        <f t="shared" si="3"/>
        <v>2064.213944</v>
      </c>
      <c r="J14" s="10">
        <f t="shared" si="4"/>
        <v>1983.264378</v>
      </c>
    </row>
    <row r="15" ht="14.25" customHeight="1">
      <c r="A15" s="11">
        <v>11.0</v>
      </c>
      <c r="B15" s="9">
        <f t="shared" si="6"/>
        <v>159.9735616</v>
      </c>
      <c r="C15" s="9">
        <f t="shared" si="5"/>
        <v>5119.153973</v>
      </c>
      <c r="D15" s="9">
        <v>0.0</v>
      </c>
      <c r="E15" s="9">
        <v>0.0</v>
      </c>
      <c r="F15" s="10">
        <v>180.0</v>
      </c>
      <c r="G15" s="10">
        <f t="shared" si="1"/>
        <v>1050</v>
      </c>
      <c r="H15" s="10">
        <f t="shared" si="2"/>
        <v>3889.153973</v>
      </c>
      <c r="I15" s="10">
        <f t="shared" si="3"/>
        <v>1983.468526</v>
      </c>
      <c r="J15" s="10">
        <f t="shared" si="4"/>
        <v>1905.685447</v>
      </c>
    </row>
    <row r="16" ht="14.25" customHeight="1">
      <c r="A16" s="11">
        <v>12.0</v>
      </c>
      <c r="B16" s="9">
        <f t="shared" si="6"/>
        <v>155.1743548</v>
      </c>
      <c r="C16" s="9">
        <f t="shared" si="5"/>
        <v>4965.579354</v>
      </c>
      <c r="D16" s="9">
        <v>0.0</v>
      </c>
      <c r="E16" s="9">
        <v>0.0</v>
      </c>
      <c r="F16" s="10">
        <v>180.0</v>
      </c>
      <c r="G16" s="10">
        <f t="shared" si="1"/>
        <v>1050</v>
      </c>
      <c r="H16" s="10">
        <f t="shared" si="2"/>
        <v>3735.579354</v>
      </c>
      <c r="I16" s="10">
        <f t="shared" si="3"/>
        <v>1905.14547</v>
      </c>
      <c r="J16" s="10">
        <f t="shared" si="4"/>
        <v>1830.433883</v>
      </c>
    </row>
    <row r="17" ht="14.25" customHeight="1">
      <c r="A17" s="11">
        <v>13.0</v>
      </c>
      <c r="B17" s="9">
        <f t="shared" si="6"/>
        <v>150.5191242</v>
      </c>
      <c r="C17" s="9">
        <f t="shared" si="5"/>
        <v>4816.611973</v>
      </c>
      <c r="D17" s="9">
        <v>0.0</v>
      </c>
      <c r="E17" s="9">
        <v>0.0</v>
      </c>
      <c r="F17" s="10">
        <v>180.0</v>
      </c>
      <c r="G17" s="10">
        <f t="shared" si="1"/>
        <v>1050</v>
      </c>
      <c r="H17" s="10">
        <f t="shared" si="2"/>
        <v>3586.611973</v>
      </c>
      <c r="I17" s="10">
        <f t="shared" si="3"/>
        <v>1829.172106</v>
      </c>
      <c r="J17" s="10">
        <f t="shared" si="4"/>
        <v>1757.439867</v>
      </c>
    </row>
    <row r="18" ht="14.25" customHeight="1">
      <c r="A18" s="11">
        <v>14.0</v>
      </c>
      <c r="B18" s="9">
        <f t="shared" si="6"/>
        <v>146.0035504</v>
      </c>
      <c r="C18" s="9">
        <f t="shared" si="5"/>
        <v>4672.113614</v>
      </c>
      <c r="D18" s="9">
        <v>0.0</v>
      </c>
      <c r="E18" s="9">
        <v>0.0</v>
      </c>
      <c r="F18" s="10">
        <v>180.0</v>
      </c>
      <c r="G18" s="10">
        <f t="shared" si="1"/>
        <v>1050</v>
      </c>
      <c r="H18" s="10">
        <f t="shared" si="2"/>
        <v>3442.113614</v>
      </c>
      <c r="I18" s="10">
        <f t="shared" si="3"/>
        <v>1755.477943</v>
      </c>
      <c r="J18" s="10">
        <f t="shared" si="4"/>
        <v>1686.635671</v>
      </c>
    </row>
    <row r="19" ht="14.25" customHeight="1">
      <c r="A19" s="11">
        <v>15.0</v>
      </c>
      <c r="B19" s="9">
        <f t="shared" si="6"/>
        <v>141.6234439</v>
      </c>
      <c r="C19" s="9">
        <f t="shared" si="5"/>
        <v>4531.950205</v>
      </c>
      <c r="D19" s="9">
        <v>0.0</v>
      </c>
      <c r="E19" s="9">
        <v>0.0</v>
      </c>
      <c r="F19" s="10">
        <v>180.0</v>
      </c>
      <c r="G19" s="10">
        <f t="shared" si="1"/>
        <v>1050</v>
      </c>
      <c r="H19" s="10">
        <f t="shared" si="2"/>
        <v>3301.950205</v>
      </c>
      <c r="I19" s="10">
        <f t="shared" si="3"/>
        <v>1683.994605</v>
      </c>
      <c r="J19" s="10">
        <f t="shared" si="4"/>
        <v>1617.955601</v>
      </c>
    </row>
    <row r="20" ht="14.25" customHeight="1">
      <c r="A20" s="11">
        <v>16.0</v>
      </c>
      <c r="B20" s="9">
        <f t="shared" si="6"/>
        <v>137.3747406</v>
      </c>
      <c r="C20" s="9">
        <f t="shared" si="5"/>
        <v>4395.991699</v>
      </c>
      <c r="D20" s="9">
        <v>0.0</v>
      </c>
      <c r="E20" s="9">
        <v>0.0</v>
      </c>
      <c r="F20" s="10">
        <v>180.0</v>
      </c>
      <c r="G20" s="10">
        <f t="shared" si="1"/>
        <v>1050</v>
      </c>
      <c r="H20" s="10">
        <f t="shared" si="2"/>
        <v>3165.991699</v>
      </c>
      <c r="I20" s="10">
        <f t="shared" si="3"/>
        <v>1614.655767</v>
      </c>
      <c r="J20" s="10">
        <f t="shared" si="4"/>
        <v>1551.335933</v>
      </c>
    </row>
    <row r="21" ht="14.25" customHeight="1">
      <c r="A21" s="11">
        <v>17.0</v>
      </c>
      <c r="B21" s="9">
        <f t="shared" si="6"/>
        <v>133.2534984</v>
      </c>
      <c r="C21" s="9">
        <f t="shared" si="5"/>
        <v>4264.111948</v>
      </c>
      <c r="D21" s="9">
        <v>0.0</v>
      </c>
      <c r="E21" s="9">
        <v>0.0</v>
      </c>
      <c r="F21" s="10">
        <v>180.0</v>
      </c>
      <c r="G21" s="10">
        <f t="shared" si="1"/>
        <v>1050</v>
      </c>
      <c r="H21" s="10">
        <f t="shared" si="2"/>
        <v>3034.111948</v>
      </c>
      <c r="I21" s="10">
        <f t="shared" si="3"/>
        <v>1547.397094</v>
      </c>
      <c r="J21" s="10">
        <f t="shared" si="4"/>
        <v>1486.714855</v>
      </c>
    </row>
    <row r="22" ht="14.25" customHeight="1">
      <c r="A22" s="11">
        <v>18.0</v>
      </c>
      <c r="B22" s="9">
        <f t="shared" si="6"/>
        <v>129.2558934</v>
      </c>
      <c r="C22" s="9">
        <f t="shared" si="5"/>
        <v>4136.18859</v>
      </c>
      <c r="D22" s="9">
        <v>0.0</v>
      </c>
      <c r="E22" s="9">
        <v>0.0</v>
      </c>
      <c r="F22" s="10">
        <v>180.0</v>
      </c>
      <c r="G22" s="10">
        <f t="shared" si="1"/>
        <v>1050</v>
      </c>
      <c r="H22" s="10">
        <f t="shared" si="2"/>
        <v>2906.18859</v>
      </c>
      <c r="I22" s="10">
        <f t="shared" si="3"/>
        <v>1482.156181</v>
      </c>
      <c r="J22" s="10">
        <f t="shared" si="4"/>
        <v>1424.032409</v>
      </c>
    </row>
    <row r="23" ht="14.25" customHeight="1">
      <c r="A23" s="11">
        <v>19.0</v>
      </c>
      <c r="B23" s="9">
        <f t="shared" si="6"/>
        <v>125.3782166</v>
      </c>
      <c r="C23" s="9">
        <f t="shared" si="5"/>
        <v>4012.102932</v>
      </c>
      <c r="D23" s="9">
        <v>0.0</v>
      </c>
      <c r="E23" s="9">
        <v>0.0</v>
      </c>
      <c r="F23" s="10">
        <v>180.0</v>
      </c>
      <c r="G23" s="10">
        <f t="shared" si="1"/>
        <v>1050</v>
      </c>
      <c r="H23" s="10">
        <f t="shared" si="2"/>
        <v>2782.102932</v>
      </c>
      <c r="I23" s="10">
        <f t="shared" si="3"/>
        <v>1418.872495</v>
      </c>
      <c r="J23" s="10">
        <f t="shared" si="4"/>
        <v>1363.230437</v>
      </c>
    </row>
    <row r="24" ht="14.25" customHeight="1">
      <c r="A24" s="11">
        <v>20.0</v>
      </c>
      <c r="B24" s="9">
        <f t="shared" si="6"/>
        <v>121.6168701</v>
      </c>
      <c r="C24" s="9">
        <f t="shared" si="5"/>
        <v>3891.739844</v>
      </c>
      <c r="D24" s="9">
        <v>0.0</v>
      </c>
      <c r="E24" s="9">
        <v>0.0</v>
      </c>
      <c r="F24" s="10">
        <v>180.0</v>
      </c>
      <c r="G24" s="10">
        <f t="shared" si="1"/>
        <v>1050</v>
      </c>
      <c r="H24" s="10">
        <f t="shared" si="2"/>
        <v>2661.739844</v>
      </c>
      <c r="I24" s="10">
        <f t="shared" si="3"/>
        <v>1357.48732</v>
      </c>
      <c r="J24" s="10">
        <f t="shared" si="4"/>
        <v>1304.252524</v>
      </c>
    </row>
    <row r="25" ht="14.25" customHeight="1">
      <c r="A25" s="11"/>
      <c r="B25" s="9"/>
      <c r="C25" s="10"/>
      <c r="D25" s="10"/>
      <c r="E25" s="10"/>
      <c r="F25" s="10"/>
      <c r="G25" s="10"/>
      <c r="H25" s="10"/>
      <c r="I25" s="10"/>
      <c r="J25" s="10"/>
    </row>
    <row r="26" ht="14.25" customHeight="1">
      <c r="A26" s="11"/>
      <c r="B26" s="9"/>
      <c r="C26" s="10"/>
      <c r="D26" s="10"/>
      <c r="E26" s="10"/>
      <c r="F26" s="10"/>
      <c r="G26" s="10"/>
      <c r="H26" s="10"/>
      <c r="I26" s="10"/>
      <c r="J26" s="10"/>
    </row>
    <row r="27" ht="14.25" customHeight="1">
      <c r="A27" s="13" t="s">
        <v>14</v>
      </c>
      <c r="B27" s="14"/>
      <c r="C27" s="14"/>
      <c r="D27" s="14"/>
      <c r="E27" s="14"/>
      <c r="F27" s="14"/>
      <c r="G27" s="14"/>
      <c r="H27" s="14"/>
      <c r="I27" s="4"/>
      <c r="J27" s="10">
        <f>SUM(J4:J24)</f>
        <v>18069.82254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I1:I2"/>
    <mergeCell ref="J1:J2"/>
    <mergeCell ref="A1:A2"/>
    <mergeCell ref="B1:B2"/>
    <mergeCell ref="C1:C2"/>
    <mergeCell ref="D1:E1"/>
    <mergeCell ref="F1:F2"/>
    <mergeCell ref="G1:G2"/>
    <mergeCell ref="H1:H2"/>
    <mergeCell ref="A27:I2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2026-05-11T02:09:34Z</dcterms:created>
  <dc:creator>Herry Sofyan</dc:creator>
</cp:coreProperties>
</file>